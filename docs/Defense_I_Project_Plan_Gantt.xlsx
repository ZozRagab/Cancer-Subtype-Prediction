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University\Senior Project\Push\"/>
    </mc:Choice>
  </mc:AlternateContent>
  <xr:revisionPtr revIDLastSave="0" documentId="13_ncr:1_{05DE2D19-919D-4856-A249-38A902FD06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ject Plan" sheetId="1" r:id="rId1"/>
    <sheet name="Gantt Chart" sheetId="2" r:id="rId2"/>
    <sheet name="Milestones" sheetId="3" r:id="rId3"/>
    <sheet name="Read M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6" i="2" l="1"/>
  <c r="K26" i="2"/>
  <c r="J26" i="2"/>
  <c r="I26" i="2"/>
  <c r="H26" i="2"/>
  <c r="G26" i="2"/>
  <c r="F26" i="2"/>
  <c r="E26" i="2"/>
  <c r="D26" i="2"/>
  <c r="L25" i="2"/>
  <c r="K25" i="2"/>
  <c r="J25" i="2"/>
  <c r="I25" i="2"/>
  <c r="H25" i="2"/>
  <c r="G25" i="2"/>
  <c r="F25" i="2"/>
  <c r="E25" i="2"/>
  <c r="D25" i="2"/>
  <c r="L24" i="2"/>
  <c r="K24" i="2"/>
  <c r="J24" i="2"/>
  <c r="I24" i="2"/>
  <c r="H24" i="2"/>
  <c r="G24" i="2"/>
  <c r="F24" i="2"/>
  <c r="E24" i="2"/>
  <c r="D24" i="2"/>
  <c r="L23" i="2"/>
  <c r="K23" i="2"/>
  <c r="J23" i="2"/>
  <c r="I23" i="2"/>
  <c r="H23" i="2"/>
  <c r="G23" i="2"/>
  <c r="F23" i="2"/>
  <c r="E23" i="2"/>
  <c r="D23" i="2"/>
  <c r="L22" i="2"/>
  <c r="K22" i="2"/>
  <c r="J22" i="2"/>
  <c r="I22" i="2"/>
  <c r="H22" i="2"/>
  <c r="G22" i="2"/>
  <c r="F22" i="2"/>
  <c r="E22" i="2"/>
  <c r="D22" i="2"/>
  <c r="L21" i="2"/>
  <c r="K21" i="2"/>
  <c r="J21" i="2"/>
  <c r="I21" i="2"/>
  <c r="H21" i="2"/>
  <c r="G21" i="2"/>
  <c r="F21" i="2"/>
  <c r="E21" i="2"/>
  <c r="D21" i="2"/>
  <c r="L20" i="2"/>
  <c r="K20" i="2"/>
  <c r="J20" i="2"/>
  <c r="I20" i="2"/>
  <c r="H20" i="2"/>
  <c r="G20" i="2"/>
  <c r="F20" i="2"/>
  <c r="E20" i="2"/>
  <c r="D20" i="2"/>
  <c r="L19" i="2"/>
  <c r="K19" i="2"/>
  <c r="J19" i="2"/>
  <c r="I19" i="2"/>
  <c r="H19" i="2"/>
  <c r="G19" i="2"/>
  <c r="F19" i="2"/>
  <c r="E19" i="2"/>
  <c r="D19" i="2"/>
  <c r="L18" i="2"/>
  <c r="K18" i="2"/>
  <c r="J18" i="2"/>
  <c r="I18" i="2"/>
  <c r="H18" i="2"/>
  <c r="G18" i="2"/>
  <c r="F18" i="2"/>
  <c r="E18" i="2"/>
  <c r="D18" i="2"/>
  <c r="L17" i="2"/>
  <c r="K17" i="2"/>
  <c r="J17" i="2"/>
  <c r="I17" i="2"/>
  <c r="H17" i="2"/>
  <c r="G17" i="2"/>
  <c r="F17" i="2"/>
  <c r="E17" i="2"/>
  <c r="D17" i="2"/>
  <c r="L16" i="2"/>
  <c r="K16" i="2"/>
  <c r="J16" i="2"/>
  <c r="I16" i="2"/>
  <c r="H16" i="2"/>
  <c r="G16" i="2"/>
  <c r="F16" i="2"/>
  <c r="E16" i="2"/>
  <c r="D16" i="2"/>
  <c r="L15" i="2"/>
  <c r="K15" i="2"/>
  <c r="J15" i="2"/>
  <c r="I15" i="2"/>
  <c r="H15" i="2"/>
  <c r="G15" i="2"/>
  <c r="F15" i="2"/>
  <c r="E15" i="2"/>
  <c r="D15" i="2"/>
  <c r="L14" i="2"/>
  <c r="K14" i="2"/>
  <c r="J14" i="2"/>
  <c r="I14" i="2"/>
  <c r="H14" i="2"/>
  <c r="G14" i="2"/>
  <c r="F14" i="2"/>
  <c r="E14" i="2"/>
  <c r="D14" i="2"/>
  <c r="L13" i="2"/>
  <c r="K13" i="2"/>
  <c r="J13" i="2"/>
  <c r="I13" i="2"/>
  <c r="H13" i="2"/>
  <c r="G13" i="2"/>
  <c r="F13" i="2"/>
  <c r="E13" i="2"/>
  <c r="D13" i="2"/>
  <c r="L12" i="2"/>
  <c r="K12" i="2"/>
  <c r="J12" i="2"/>
  <c r="I12" i="2"/>
  <c r="H12" i="2"/>
  <c r="G12" i="2"/>
  <c r="F12" i="2"/>
  <c r="E12" i="2"/>
  <c r="D12" i="2"/>
  <c r="L11" i="2"/>
  <c r="K11" i="2"/>
  <c r="J11" i="2"/>
  <c r="I11" i="2"/>
  <c r="H11" i="2"/>
  <c r="G11" i="2"/>
  <c r="F11" i="2"/>
  <c r="E11" i="2"/>
  <c r="D11" i="2"/>
  <c r="L10" i="2"/>
  <c r="K10" i="2"/>
  <c r="J10" i="2"/>
  <c r="I10" i="2"/>
  <c r="H10" i="2"/>
  <c r="G10" i="2"/>
  <c r="F10" i="2"/>
  <c r="E10" i="2"/>
  <c r="D10" i="2"/>
  <c r="L9" i="2"/>
  <c r="K9" i="2"/>
  <c r="J9" i="2"/>
  <c r="I9" i="2"/>
  <c r="H9" i="2"/>
  <c r="G9" i="2"/>
  <c r="F9" i="2"/>
  <c r="E9" i="2"/>
  <c r="D9" i="2"/>
  <c r="L8" i="2"/>
  <c r="K8" i="2"/>
  <c r="J8" i="2"/>
  <c r="I8" i="2"/>
  <c r="H8" i="2"/>
  <c r="G8" i="2"/>
  <c r="F8" i="2"/>
  <c r="E8" i="2"/>
  <c r="D8" i="2"/>
  <c r="L7" i="2"/>
  <c r="K7" i="2"/>
  <c r="J7" i="2"/>
  <c r="I7" i="2"/>
  <c r="H7" i="2"/>
  <c r="G7" i="2"/>
  <c r="F7" i="2"/>
  <c r="E7" i="2"/>
  <c r="D7" i="2"/>
  <c r="L6" i="2"/>
  <c r="K6" i="2"/>
  <c r="J6" i="2"/>
  <c r="I6" i="2"/>
  <c r="H6" i="2"/>
  <c r="G6" i="2"/>
  <c r="F6" i="2"/>
  <c r="E6" i="2"/>
  <c r="D6" i="2"/>
  <c r="L5" i="2"/>
  <c r="K5" i="2"/>
  <c r="J5" i="2"/>
  <c r="I5" i="2"/>
  <c r="H5" i="2"/>
  <c r="G5" i="2"/>
  <c r="F5" i="2"/>
  <c r="E5" i="2"/>
  <c r="D5" i="2"/>
</calcChain>
</file>

<file path=xl/sharedStrings.xml><?xml version="1.0" encoding="utf-8"?>
<sst xmlns="http://schemas.openxmlformats.org/spreadsheetml/2006/main" count="258" uniqueCount="140">
  <si>
    <t>Explainable AI | Project Plan &amp; Deliverables</t>
  </si>
  <si>
    <t>Breast cancer (GSE96058) only  •  October 2026 – June 2027  •  Planned dates subject to university confirmation</t>
  </si>
  <si>
    <t>ID</t>
  </si>
  <si>
    <t>Work package</t>
  </si>
  <si>
    <t>Contributors</t>
  </si>
  <si>
    <t>Start</t>
  </si>
  <si>
    <t>Finish</t>
  </si>
  <si>
    <t>Depends on</t>
  </si>
  <si>
    <t>Expected evidence / deliverable</t>
  </si>
  <si>
    <t>Status</t>
  </si>
  <si>
    <t>T01</t>
  </si>
  <si>
    <t>Scope, requirements and risk plan</t>
  </si>
  <si>
    <t>Ziad + Gamal</t>
  </si>
  <si>
    <t>Approved consolidated breast-only specification and risk assessment</t>
  </si>
  <si>
    <t>Prepared</t>
  </si>
  <si>
    <t>T02</t>
  </si>
  <si>
    <t>Literature review, DOI checks and final formatting</t>
  </si>
  <si>
    <t>Gamal + Ziad</t>
  </si>
  <si>
    <t>Verified breast cancer literature review with linked references</t>
  </si>
  <si>
    <t>T03</t>
  </si>
  <si>
    <t>Dataset acquisition, labels and replicate audit</t>
  </si>
  <si>
    <t>Mostafa + Mohamed</t>
  </si>
  <si>
    <t>GSE96058 matched primary-sample IDs, labels and 136 replicate audit</t>
  </si>
  <si>
    <t>In progress / verify</t>
  </si>
  <si>
    <t>T04</t>
  </si>
  <si>
    <t>Defense I materials, repository and rehearsal</t>
  </si>
  <si>
    <t>All four</t>
  </si>
  <si>
    <t>T01,T02</t>
  </si>
  <si>
    <t>Submission materials, initial EDA, GitHub evidence, presentation</t>
  </si>
  <si>
    <t>Pending review</t>
  </si>
  <si>
    <t>T05</t>
  </si>
  <si>
    <t>Expression scale, PAM50 alias and EDA verification</t>
  </si>
  <si>
    <t>Mostafa + Ziad</t>
  </si>
  <si>
    <t>Planned</t>
  </si>
  <si>
    <t>T06</t>
  </si>
  <si>
    <t>Reproducible split and evaluation protocol</t>
  </si>
  <si>
    <t>Ziad + Mohamed</t>
  </si>
  <si>
    <t>Group-safe 80/20 holdout proposal and train-only CV pipeline</t>
  </si>
  <si>
    <t>T07</t>
  </si>
  <si>
    <t>Initial PAM50-gene baselines</t>
  </si>
  <si>
    <t>Gamal + Mostafa</t>
  </si>
  <si>
    <t>T05,T06</t>
  </si>
  <si>
    <t>LR/SVM baseline, initial five-class metrics, record Normal-like issues</t>
  </si>
  <si>
    <t>T08</t>
  </si>
  <si>
    <t>Initial thesis and Defense II experiments</t>
  </si>
  <si>
    <t>Initial thesis Dec 15; Defense II Dec 22; reproducible baseline evidence</t>
  </si>
  <si>
    <t>T09</t>
  </si>
  <si>
    <t>Advisor feedback and revised thesis</t>
  </si>
  <si>
    <t>Incorporate Defense II recommendations in revised thesis</t>
  </si>
  <si>
    <t>T10</t>
  </si>
  <si>
    <t>Compare PAM50 and ANOVA-selected genes</t>
  </si>
  <si>
    <t>Mostafa + Gamal</t>
  </si>
  <si>
    <t>T06,T07</t>
  </si>
  <si>
    <t>Training-fold ANOVA subset-size selection and PAM50 baseline comparison</t>
  </si>
  <si>
    <t>T11</t>
  </si>
  <si>
    <t>Compare L1 / elastic-net-selected genes</t>
  </si>
  <si>
    <t>Sparse gene panels fitted only on training folds</t>
  </si>
  <si>
    <t>T12</t>
  </si>
  <si>
    <t>Compare LR, SVM, RF and XGBoost</t>
  </si>
  <si>
    <t>T10,T11</t>
  </si>
  <si>
    <t>Consistent CV macro-F1 and per-class comparisons</t>
  </si>
  <si>
    <t>T13</t>
  </si>
  <si>
    <t>First Streamlit UI and input validation</t>
  </si>
  <si>
    <t>Mohamed + Ziad</t>
  </si>
  <si>
    <t>Single/batch expression upload; exact schema; friendly error messages</t>
  </si>
  <si>
    <t>T14</t>
  </si>
  <si>
    <t>Curated gene biology evidence and references</t>
  </si>
  <si>
    <t>Gamal + Mohamed</t>
  </si>
  <si>
    <t>Verified gene-breast subtype context with DOI/PMID and limitations</t>
  </si>
  <si>
    <t>T15</t>
  </si>
  <si>
    <t>Select final breast model; untouched test evaluation</t>
  </si>
  <si>
    <t>Ziad + Mostafa</t>
  </si>
  <si>
    <t>Locked pipeline; final 5-class decision; held-out metrics and calibration review</t>
  </si>
  <si>
    <t>T16</t>
  </si>
  <si>
    <t>SHAP explanations and reliability checks</t>
  </si>
  <si>
    <t>Class-specific SHAP, faithfulness, stability and interpretation</t>
  </si>
  <si>
    <t>T17</t>
  </si>
  <si>
    <t>Defense III model and prototype demonstration</t>
  </si>
  <si>
    <t>T13,T15</t>
  </si>
  <si>
    <t>Mar 16: current reproducible modeling results and app demonstration</t>
  </si>
  <si>
    <t>T18</t>
  </si>
  <si>
    <t>Application integration and PDF reporting</t>
  </si>
  <si>
    <t>T13,T14,T15,T16</t>
  </si>
  <si>
    <t>Prediction, explanations, literature links, batch views, PDF export</t>
  </si>
  <si>
    <t>T19</t>
  </si>
  <si>
    <t>End-to-end security, usability and performance tests</t>
  </si>
  <si>
    <t>Mohamed + Mostafa</t>
  </si>
  <si>
    <t>Valid/invalid input, privacy, reproducibility, browser and speed checks</t>
  </si>
  <si>
    <t>T20</t>
  </si>
  <si>
    <t>Pre-final demonstration and refinements</t>
  </si>
  <si>
    <t>Working breast cancer prototype and prioritized issue fixes</t>
  </si>
  <si>
    <t>T21</t>
  </si>
  <si>
    <t>Final thesis, GitHub and reproducibility audit</t>
  </si>
  <si>
    <t>Complete report, model cards, instructions, test evidence and code</t>
  </si>
  <si>
    <t>T22</t>
  </si>
  <si>
    <t>Final defense preparation and demonstration</t>
  </si>
  <si>
    <t>Final demo, slide deck and Q&amp;A; defense June 27–30</t>
  </si>
  <si>
    <t>Project Timeline | October 2026 – June 2027</t>
  </si>
  <si>
    <t>■ Planned activity during the month. Tasks and dates are defined in Project Plan.</t>
  </si>
  <si>
    <t>Official Milestones &amp; Submission Evidence</t>
  </si>
  <si>
    <t>Milestone</t>
  </si>
  <si>
    <t>Date / window start</t>
  </si>
  <si>
    <t>Evidence to present</t>
  </si>
  <si>
    <t>Defense I</t>
  </si>
  <si>
    <t>Project specification, literature review, Gantt, EDA evidence, GitHub, slides</t>
  </si>
  <si>
    <t>Scheduled / confirm</t>
  </si>
  <si>
    <t>Initial thesis</t>
  </si>
  <si>
    <t>Literature, methods and preliminary experiments</t>
  </si>
  <si>
    <t>Defense II</t>
  </si>
  <si>
    <t>Demonstrable breast cancer modeling progress</t>
  </si>
  <si>
    <t>Revised thesis</t>
  </si>
  <si>
    <t>Revisions based on feedback</t>
  </si>
  <si>
    <t>Defense III</t>
  </si>
  <si>
    <t>Breast classifier results and initial explainable app</t>
  </si>
  <si>
    <t>Pre-final defense</t>
  </si>
  <si>
    <t>Working integrated breast cancer system; window May 23–27</t>
  </si>
  <si>
    <t>Final thesis</t>
  </si>
  <si>
    <t>Finished documentation and reproducible code</t>
  </si>
  <si>
    <t>Final defense</t>
  </si>
  <si>
    <t>End-to-end breast cancer demo; window June 27–30</t>
  </si>
  <si>
    <t>Guide to the Project Plan</t>
  </si>
  <si>
    <t>Purpose</t>
  </si>
  <si>
    <t>Defense I planning timeline through final defense; forecasts, not claims of completed work.</t>
  </si>
  <si>
    <t>Project scope</t>
  </si>
  <si>
    <t>Breast cancer PAM50 subtype prediction from compatible processed RNA-seq gene expression (GSE96058).</t>
  </si>
  <si>
    <t>Team</t>
  </si>
  <si>
    <t>Ziad Elmorsy, Mohamed Samy, Mostafa Elzeiny, Gamal Mohamed.</t>
  </si>
  <si>
    <t>Collaboration</t>
  </si>
  <si>
    <t>All four participate across phases; named pairings indicate practical allocation, not leadership.</t>
  </si>
  <si>
    <t>Schedule editing</t>
  </si>
  <si>
    <t>Update Start/Finish dates in Project Plan; Gantt cells are linked by formulas.</t>
  </si>
  <si>
    <t>Submission status</t>
  </si>
  <si>
    <t>Literature and combined project specification are prepared; EDA and repository need final verification.</t>
  </si>
  <si>
    <t>Future work</t>
  </si>
  <si>
    <t>Other cancer types and prognosis are outside the committed graduation project.</t>
  </si>
  <si>
    <t>Method dependencies</t>
  </si>
  <si>
    <t>Verify data → group-safe split → feature selection/model CV → held-out evaluation → SHAP → application/PDF → testing.</t>
  </si>
  <si>
    <t>Dates</t>
  </si>
  <si>
    <t>University schedule previously shared; confirm these dates against current official announcements.</t>
  </si>
  <si>
    <t>Verify log2(FPKM+0.1), gene IDs, documented ORC6L to ORC6 alias, class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</si>
</sst>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\ yyyy"/>
    <numFmt numFmtId="165" formatCode="mmm\ yy"/>
  </numFmts>
  <fonts count="4">
    <font>
      <sz val="11"/>
      <name val="Carlito"/>
    </font>
    <font>
      <b/>
      <sz val="15"/>
      <color rgb="FFFFFFFF"/>
      <name val="Carlito"/>
    </font>
    <font>
      <b/>
      <sz val="11"/>
      <color rgb="FFFFFFFF"/>
      <name val="Carlito"/>
    </font>
    <font>
      <sz val="1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42A43"/>
      </patternFill>
    </fill>
    <fill>
      <patternFill patternType="solid">
        <fgColor rgb="FF1C60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1" applyFill="1" applyAlignment="1">
      <alignment wrapText="1"/>
    </xf>
    <xf numFmtId="0" fontId="3" fillId="0" borderId="0" xfId="0" applyFont="1" applyAlignment="1">
      <alignment wrapText="1"/>
    </xf>
    <xf numFmtId="164" fontId="3" fillId="0" borderId="0" xfId="0" applyNumberFormat="1" applyFont="1" applyAlignment="1">
      <alignment wrapText="1"/>
    </xf>
    <xf numFmtId="165" fontId="2" fillId="3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0" fillId="0" borderId="0" xfId="0"/>
  </cellXfs>
  <cellStyles count="1">
    <cellStyle name="Normal" xfId="0" builtinId="0"/>
  </cellStyles>
  <dxfs count="1">
    <dxf>
      <font>
        <b/>
        <color rgb="FF08756C"/>
      </font>
      <fill>
        <patternFill>
          <bgColor rgb="FFB7DCD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zoomScaleNormal="100" workbookViewId="0">
      <pane ySplit="4" topLeftCell="A5" activePane="bottomLeft" state="frozen"/>
      <selection pane="bottomLeft" activeCell="I9" sqref="I9"/>
    </sheetView>
  </sheetViews>
  <sheetFormatPr defaultRowHeight="14.25"/>
  <cols>
    <col min="1" max="1" width="9" customWidth="1"/>
    <col min="2" max="2" width="46" customWidth="1"/>
    <col min="3" max="3" width="22" customWidth="1"/>
    <col min="4" max="5" width="17" customWidth="1"/>
    <col min="6" max="6" width="16" customWidth="1"/>
    <col min="7" max="7" width="65" customWidth="1"/>
    <col min="8" max="8" width="21" customWidth="1"/>
  </cols>
  <sheetData>
    <row r="1" spans="1:8" ht="38.1" customHeight="1">
      <c r="A1" s="6" t="s">
        <v>0</v>
      </c>
      <c r="B1" s="6"/>
      <c r="C1" s="6"/>
      <c r="D1" s="6"/>
      <c r="E1" s="6"/>
      <c r="F1" s="6"/>
      <c r="G1" s="6"/>
      <c r="H1" s="6"/>
    </row>
    <row r="2" spans="1:8">
      <c r="A2" s="7" t="s">
        <v>1</v>
      </c>
      <c r="B2" s="7"/>
      <c r="C2" s="7"/>
      <c r="D2" s="7"/>
      <c r="E2" s="7"/>
      <c r="F2" s="7"/>
      <c r="G2" s="7"/>
      <c r="H2" s="7"/>
    </row>
    <row r="4" spans="1:8" ht="36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30.95" customHeight="1">
      <c r="A5" s="2" t="s">
        <v>10</v>
      </c>
      <c r="B5" s="2" t="s">
        <v>11</v>
      </c>
      <c r="C5" s="2" t="s">
        <v>12</v>
      </c>
      <c r="D5" s="3">
        <v>46307</v>
      </c>
      <c r="E5" s="3">
        <v>46321</v>
      </c>
      <c r="F5" s="2"/>
      <c r="G5" s="2" t="s">
        <v>13</v>
      </c>
      <c r="H5" s="2" t="s">
        <v>14</v>
      </c>
    </row>
    <row r="6" spans="1:8" ht="30.95" customHeight="1">
      <c r="A6" s="2" t="s">
        <v>15</v>
      </c>
      <c r="B6" s="2" t="s">
        <v>16</v>
      </c>
      <c r="C6" s="2" t="s">
        <v>17</v>
      </c>
      <c r="D6" s="3">
        <v>46307</v>
      </c>
      <c r="E6" s="3">
        <v>46321</v>
      </c>
      <c r="F6" s="2"/>
      <c r="G6" s="2" t="s">
        <v>18</v>
      </c>
      <c r="H6" s="2" t="s">
        <v>14</v>
      </c>
    </row>
    <row r="7" spans="1:8" ht="30.95" customHeight="1">
      <c r="A7" s="2" t="s">
        <v>19</v>
      </c>
      <c r="B7" s="2" t="s">
        <v>20</v>
      </c>
      <c r="C7" s="2" t="s">
        <v>21</v>
      </c>
      <c r="D7" s="3">
        <v>46311</v>
      </c>
      <c r="E7" s="3">
        <v>46336</v>
      </c>
      <c r="F7" s="2"/>
      <c r="G7" s="2" t="s">
        <v>22</v>
      </c>
      <c r="H7" s="2" t="s">
        <v>23</v>
      </c>
    </row>
    <row r="8" spans="1:8" ht="30.95" customHeight="1">
      <c r="A8" s="2" t="s">
        <v>24</v>
      </c>
      <c r="B8" s="2" t="s">
        <v>25</v>
      </c>
      <c r="C8" s="2" t="s">
        <v>26</v>
      </c>
      <c r="D8" s="3">
        <v>46315</v>
      </c>
      <c r="E8" s="3">
        <v>46322</v>
      </c>
      <c r="F8" s="2" t="s">
        <v>27</v>
      </c>
      <c r="G8" s="2" t="s">
        <v>28</v>
      </c>
      <c r="H8" s="2" t="s">
        <v>29</v>
      </c>
    </row>
    <row r="9" spans="1:8" ht="30.95" customHeight="1">
      <c r="A9" s="2" t="s">
        <v>30</v>
      </c>
      <c r="B9" s="2" t="s">
        <v>31</v>
      </c>
      <c r="C9" s="2" t="s">
        <v>32</v>
      </c>
      <c r="D9" s="3">
        <v>46322</v>
      </c>
      <c r="E9" s="3">
        <v>46344</v>
      </c>
      <c r="F9" s="2" t="s">
        <v>19</v>
      </c>
      <c r="G9" s="2" t="s">
        <v>139</v>
      </c>
      <c r="H9" s="2" t="s">
        <v>23</v>
      </c>
    </row>
    <row r="10" spans="1:8" ht="30.95" customHeight="1">
      <c r="A10" s="2" t="s">
        <v>34</v>
      </c>
      <c r="B10" s="2" t="s">
        <v>35</v>
      </c>
      <c r="C10" s="2" t="s">
        <v>36</v>
      </c>
      <c r="D10" s="3">
        <v>46336</v>
      </c>
      <c r="E10" s="3">
        <v>46351</v>
      </c>
      <c r="F10" s="2" t="s">
        <v>19</v>
      </c>
      <c r="G10" s="2" t="s">
        <v>37</v>
      </c>
      <c r="H10" s="2" t="s">
        <v>33</v>
      </c>
    </row>
    <row r="11" spans="1:8" ht="30.95" customHeight="1">
      <c r="A11" s="2" t="s">
        <v>38</v>
      </c>
      <c r="B11" s="2" t="s">
        <v>39</v>
      </c>
      <c r="C11" s="2" t="s">
        <v>40</v>
      </c>
      <c r="D11" s="3">
        <v>46346</v>
      </c>
      <c r="E11" s="3">
        <v>46370</v>
      </c>
      <c r="F11" s="2" t="s">
        <v>41</v>
      </c>
      <c r="G11" s="2" t="s">
        <v>42</v>
      </c>
      <c r="H11" s="2" t="s">
        <v>33</v>
      </c>
    </row>
    <row r="12" spans="1:8" ht="30.95" customHeight="1">
      <c r="A12" s="2" t="s">
        <v>43</v>
      </c>
      <c r="B12" s="2" t="s">
        <v>44</v>
      </c>
      <c r="C12" s="2" t="s">
        <v>26</v>
      </c>
      <c r="D12" s="3">
        <v>46357</v>
      </c>
      <c r="E12" s="3">
        <v>46378</v>
      </c>
      <c r="F12" s="2" t="s">
        <v>38</v>
      </c>
      <c r="G12" s="2" t="s">
        <v>45</v>
      </c>
      <c r="H12" s="2" t="s">
        <v>33</v>
      </c>
    </row>
    <row r="13" spans="1:8" ht="30.95" customHeight="1">
      <c r="A13" s="2" t="s">
        <v>46</v>
      </c>
      <c r="B13" s="2" t="s">
        <v>47</v>
      </c>
      <c r="C13" s="2" t="s">
        <v>26</v>
      </c>
      <c r="D13" s="3">
        <v>46379</v>
      </c>
      <c r="E13" s="3">
        <v>46385</v>
      </c>
      <c r="F13" s="2" t="s">
        <v>43</v>
      </c>
      <c r="G13" s="2" t="s">
        <v>48</v>
      </c>
      <c r="H13" s="2" t="s">
        <v>33</v>
      </c>
    </row>
    <row r="14" spans="1:8" ht="30.95" customHeight="1">
      <c r="A14" s="2" t="s">
        <v>49</v>
      </c>
      <c r="B14" s="2" t="s">
        <v>50</v>
      </c>
      <c r="C14" s="2" t="s">
        <v>51</v>
      </c>
      <c r="D14" s="3">
        <v>46386</v>
      </c>
      <c r="E14" s="3">
        <v>46428</v>
      </c>
      <c r="F14" s="2" t="s">
        <v>52</v>
      </c>
      <c r="G14" s="2" t="s">
        <v>53</v>
      </c>
      <c r="H14" s="2" t="s">
        <v>33</v>
      </c>
    </row>
    <row r="15" spans="1:8" ht="30.95" customHeight="1">
      <c r="A15" s="2" t="s">
        <v>54</v>
      </c>
      <c r="B15" s="2" t="s">
        <v>55</v>
      </c>
      <c r="C15" s="2" t="s">
        <v>36</v>
      </c>
      <c r="D15" s="3">
        <v>46392</v>
      </c>
      <c r="E15" s="3">
        <v>46433</v>
      </c>
      <c r="F15" s="2" t="s">
        <v>52</v>
      </c>
      <c r="G15" s="2" t="s">
        <v>56</v>
      </c>
      <c r="H15" s="2" t="s">
        <v>33</v>
      </c>
    </row>
    <row r="16" spans="1:8" ht="30.95" customHeight="1">
      <c r="A16" s="2" t="s">
        <v>57</v>
      </c>
      <c r="B16" s="2" t="s">
        <v>58</v>
      </c>
      <c r="C16" s="2" t="s">
        <v>26</v>
      </c>
      <c r="D16" s="3">
        <v>46419</v>
      </c>
      <c r="E16" s="3">
        <v>46447</v>
      </c>
      <c r="F16" s="2" t="s">
        <v>59</v>
      </c>
      <c r="G16" s="2" t="s">
        <v>60</v>
      </c>
      <c r="H16" s="2" t="s">
        <v>33</v>
      </c>
    </row>
    <row r="17" spans="1:8" ht="30.95" customHeight="1">
      <c r="A17" s="2" t="s">
        <v>61</v>
      </c>
      <c r="B17" s="2" t="s">
        <v>62</v>
      </c>
      <c r="C17" s="2" t="s">
        <v>63</v>
      </c>
      <c r="D17" s="3">
        <v>46407</v>
      </c>
      <c r="E17" s="3">
        <v>46456</v>
      </c>
      <c r="F17" s="2" t="s">
        <v>30</v>
      </c>
      <c r="G17" s="2" t="s">
        <v>64</v>
      </c>
      <c r="H17" s="2" t="s">
        <v>33</v>
      </c>
    </row>
    <row r="18" spans="1:8" ht="30.95" customHeight="1">
      <c r="A18" s="2" t="s">
        <v>65</v>
      </c>
      <c r="B18" s="2" t="s">
        <v>66</v>
      </c>
      <c r="C18" s="2" t="s">
        <v>67</v>
      </c>
      <c r="D18" s="3">
        <v>46412</v>
      </c>
      <c r="E18" s="3">
        <v>46487</v>
      </c>
      <c r="F18" s="2" t="s">
        <v>15</v>
      </c>
      <c r="G18" s="2" t="s">
        <v>68</v>
      </c>
      <c r="H18" s="2" t="s">
        <v>33</v>
      </c>
    </row>
    <row r="19" spans="1:8" ht="30.95" customHeight="1">
      <c r="A19" s="2" t="s">
        <v>69</v>
      </c>
      <c r="B19" s="2" t="s">
        <v>70</v>
      </c>
      <c r="C19" s="2" t="s">
        <v>71</v>
      </c>
      <c r="D19" s="3">
        <v>46448</v>
      </c>
      <c r="E19" s="3">
        <v>46461</v>
      </c>
      <c r="F19" s="2" t="s">
        <v>57</v>
      </c>
      <c r="G19" s="2" t="s">
        <v>72</v>
      </c>
      <c r="H19" s="2" t="s">
        <v>33</v>
      </c>
    </row>
    <row r="20" spans="1:8" ht="30.95" customHeight="1">
      <c r="A20" s="2" t="s">
        <v>73</v>
      </c>
      <c r="B20" s="2" t="s">
        <v>74</v>
      </c>
      <c r="C20" s="2" t="s">
        <v>17</v>
      </c>
      <c r="D20" s="3">
        <v>46448</v>
      </c>
      <c r="E20" s="3">
        <v>46489</v>
      </c>
      <c r="F20" s="2" t="s">
        <v>57</v>
      </c>
      <c r="G20" s="2" t="s">
        <v>75</v>
      </c>
      <c r="H20" s="2" t="s">
        <v>33</v>
      </c>
    </row>
    <row r="21" spans="1:8" ht="30.95" customHeight="1">
      <c r="A21" s="2" t="s">
        <v>76</v>
      </c>
      <c r="B21" s="2" t="s">
        <v>77</v>
      </c>
      <c r="C21" s="2" t="s">
        <v>26</v>
      </c>
      <c r="D21" s="3">
        <v>46451</v>
      </c>
      <c r="E21" s="3">
        <v>46462</v>
      </c>
      <c r="F21" s="2" t="s">
        <v>78</v>
      </c>
      <c r="G21" s="2" t="s">
        <v>79</v>
      </c>
      <c r="H21" s="2" t="s">
        <v>33</v>
      </c>
    </row>
    <row r="22" spans="1:8" ht="30.95" customHeight="1">
      <c r="A22" s="2" t="s">
        <v>80</v>
      </c>
      <c r="B22" s="2" t="s">
        <v>81</v>
      </c>
      <c r="C22" s="2" t="s">
        <v>26</v>
      </c>
      <c r="D22" s="3">
        <v>46478</v>
      </c>
      <c r="E22" s="3">
        <v>46512</v>
      </c>
      <c r="F22" s="2" t="s">
        <v>82</v>
      </c>
      <c r="G22" s="2" t="s">
        <v>83</v>
      </c>
      <c r="H22" s="2" t="s">
        <v>33</v>
      </c>
    </row>
    <row r="23" spans="1:8" ht="30.95" customHeight="1">
      <c r="A23" s="2" t="s">
        <v>84</v>
      </c>
      <c r="B23" s="2" t="s">
        <v>85</v>
      </c>
      <c r="C23" s="2" t="s">
        <v>86</v>
      </c>
      <c r="D23" s="3">
        <v>46508</v>
      </c>
      <c r="E23" s="3">
        <v>46528</v>
      </c>
      <c r="F23" s="2" t="s">
        <v>80</v>
      </c>
      <c r="G23" s="2" t="s">
        <v>87</v>
      </c>
      <c r="H23" s="2" t="s">
        <v>33</v>
      </c>
    </row>
    <row r="24" spans="1:8" ht="30.95" customHeight="1">
      <c r="A24" s="2" t="s">
        <v>88</v>
      </c>
      <c r="B24" s="2" t="s">
        <v>89</v>
      </c>
      <c r="C24" s="2" t="s">
        <v>26</v>
      </c>
      <c r="D24" s="3">
        <v>46530</v>
      </c>
      <c r="E24" s="3">
        <v>46534</v>
      </c>
      <c r="F24" s="2" t="s">
        <v>84</v>
      </c>
      <c r="G24" s="2" t="s">
        <v>90</v>
      </c>
      <c r="H24" s="2" t="s">
        <v>33</v>
      </c>
    </row>
    <row r="25" spans="1:8" ht="30.95" customHeight="1">
      <c r="A25" s="2" t="s">
        <v>91</v>
      </c>
      <c r="B25" s="2" t="s">
        <v>92</v>
      </c>
      <c r="C25" s="2" t="s">
        <v>26</v>
      </c>
      <c r="D25" s="3">
        <v>46535</v>
      </c>
      <c r="E25" s="3">
        <v>46558</v>
      </c>
      <c r="F25" s="2" t="s">
        <v>88</v>
      </c>
      <c r="G25" s="2" t="s">
        <v>93</v>
      </c>
      <c r="H25" s="2" t="s">
        <v>33</v>
      </c>
    </row>
    <row r="26" spans="1:8" ht="30.95" customHeight="1">
      <c r="A26" s="2" t="s">
        <v>94</v>
      </c>
      <c r="B26" s="2" t="s">
        <v>95</v>
      </c>
      <c r="C26" s="2" t="s">
        <v>26</v>
      </c>
      <c r="D26" s="3">
        <v>46559</v>
      </c>
      <c r="E26" s="3">
        <v>46568</v>
      </c>
      <c r="F26" s="2" t="s">
        <v>91</v>
      </c>
      <c r="G26" s="2" t="s">
        <v>96</v>
      </c>
      <c r="H26" s="2" t="s">
        <v>33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6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1" width="9" customWidth="1"/>
    <col min="2" max="2" width="49" customWidth="1"/>
    <col min="3" max="3" width="21" customWidth="1"/>
    <col min="4" max="12" width="13.5" customWidth="1"/>
  </cols>
  <sheetData>
    <row r="1" spans="1:12" ht="38.1" customHeight="1">
      <c r="A1" s="6" t="s">
        <v>97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>
      <c r="A2" s="7" t="s">
        <v>98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4" spans="1:12" ht="27.95" customHeight="1">
      <c r="A4" s="1" t="s">
        <v>2</v>
      </c>
      <c r="B4" s="1" t="s">
        <v>3</v>
      </c>
      <c r="C4" s="1" t="s">
        <v>4</v>
      </c>
      <c r="D4" s="4">
        <v>46296</v>
      </c>
      <c r="E4" s="4">
        <v>46327</v>
      </c>
      <c r="F4" s="4">
        <v>46357</v>
      </c>
      <c r="G4" s="4">
        <v>46388</v>
      </c>
      <c r="H4" s="4">
        <v>46419</v>
      </c>
      <c r="I4" s="4">
        <v>46447</v>
      </c>
      <c r="J4" s="4">
        <v>46478</v>
      </c>
      <c r="K4" s="4">
        <v>46508</v>
      </c>
      <c r="L4" s="4">
        <v>46539</v>
      </c>
    </row>
    <row r="5" spans="1:12" ht="29.1" customHeight="1">
      <c r="A5" s="2" t="s">
        <v>10</v>
      </c>
      <c r="B5" s="2" t="s">
        <v>11</v>
      </c>
      <c r="C5" s="2" t="s">
        <v>12</v>
      </c>
      <c r="D5" s="5" t="str">
        <f>IF(AND('Project Plan'!$D5&lt;EDATE(D$4,1),'Project Plan'!$E5&gt;=D$4),"■","")</f>
        <v>■</v>
      </c>
      <c r="E5" s="5" t="str">
        <f>IF(AND('Project Plan'!$D5&lt;EDATE(E$4,1),'Project Plan'!$E5&gt;=E$4),"■","")</f>
        <v/>
      </c>
      <c r="F5" s="5" t="str">
        <f>IF(AND('Project Plan'!$D5&lt;EDATE(F$4,1),'Project Plan'!$E5&gt;=F$4),"■","")</f>
        <v/>
      </c>
      <c r="G5" s="5" t="str">
        <f>IF(AND('Project Plan'!$D5&lt;EDATE(G$4,1),'Project Plan'!$E5&gt;=G$4),"■","")</f>
        <v/>
      </c>
      <c r="H5" s="5" t="str">
        <f>IF(AND('Project Plan'!$D5&lt;EDATE(H$4,1),'Project Plan'!$E5&gt;=H$4),"■","")</f>
        <v/>
      </c>
      <c r="I5" s="5" t="str">
        <f>IF(AND('Project Plan'!$D5&lt;EDATE(I$4,1),'Project Plan'!$E5&gt;=I$4),"■","")</f>
        <v/>
      </c>
      <c r="J5" s="5" t="str">
        <f>IF(AND('Project Plan'!$D5&lt;EDATE(J$4,1),'Project Plan'!$E5&gt;=J$4),"■","")</f>
        <v/>
      </c>
      <c r="K5" s="5" t="str">
        <f>IF(AND('Project Plan'!$D5&lt;EDATE(K$4,1),'Project Plan'!$E5&gt;=K$4),"■","")</f>
        <v/>
      </c>
      <c r="L5" s="5" t="str">
        <f>IF(AND('Project Plan'!$D5&lt;EDATE(L$4,1),'Project Plan'!$E5&gt;=L$4),"■","")</f>
        <v/>
      </c>
    </row>
    <row r="6" spans="1:12" ht="29.1" customHeight="1">
      <c r="A6" s="2" t="s">
        <v>15</v>
      </c>
      <c r="B6" s="2" t="s">
        <v>16</v>
      </c>
      <c r="C6" s="2" t="s">
        <v>17</v>
      </c>
      <c r="D6" s="5" t="str">
        <f>IF(AND('Project Plan'!$D6&lt;EDATE(D$4,1),'Project Plan'!$E6&gt;=D$4),"■","")</f>
        <v>■</v>
      </c>
      <c r="E6" s="5" t="str">
        <f>IF(AND('Project Plan'!$D6&lt;EDATE(E$4,1),'Project Plan'!$E6&gt;=E$4),"■","")</f>
        <v/>
      </c>
      <c r="F6" s="5" t="str">
        <f>IF(AND('Project Plan'!$D6&lt;EDATE(F$4,1),'Project Plan'!$E6&gt;=F$4),"■","")</f>
        <v/>
      </c>
      <c r="G6" s="5" t="str">
        <f>IF(AND('Project Plan'!$D6&lt;EDATE(G$4,1),'Project Plan'!$E6&gt;=G$4),"■","")</f>
        <v/>
      </c>
      <c r="H6" s="5" t="str">
        <f>IF(AND('Project Plan'!$D6&lt;EDATE(H$4,1),'Project Plan'!$E6&gt;=H$4),"■","")</f>
        <v/>
      </c>
      <c r="I6" s="5" t="str">
        <f>IF(AND('Project Plan'!$D6&lt;EDATE(I$4,1),'Project Plan'!$E6&gt;=I$4),"■","")</f>
        <v/>
      </c>
      <c r="J6" s="5" t="str">
        <f>IF(AND('Project Plan'!$D6&lt;EDATE(J$4,1),'Project Plan'!$E6&gt;=J$4),"■","")</f>
        <v/>
      </c>
      <c r="K6" s="5" t="str">
        <f>IF(AND('Project Plan'!$D6&lt;EDATE(K$4,1),'Project Plan'!$E6&gt;=K$4),"■","")</f>
        <v/>
      </c>
      <c r="L6" s="5" t="str">
        <f>IF(AND('Project Plan'!$D6&lt;EDATE(L$4,1),'Project Plan'!$E6&gt;=L$4),"■","")</f>
        <v/>
      </c>
    </row>
    <row r="7" spans="1:12" ht="29.1" customHeight="1">
      <c r="A7" s="2" t="s">
        <v>19</v>
      </c>
      <c r="B7" s="2" t="s">
        <v>20</v>
      </c>
      <c r="C7" s="2" t="s">
        <v>21</v>
      </c>
      <c r="D7" s="5" t="str">
        <f>IF(AND('Project Plan'!$D7&lt;EDATE(D$4,1),'Project Plan'!$E7&gt;=D$4),"■","")</f>
        <v>■</v>
      </c>
      <c r="E7" s="5" t="str">
        <f>IF(AND('Project Plan'!$D7&lt;EDATE(E$4,1),'Project Plan'!$E7&gt;=E$4),"■","")</f>
        <v>■</v>
      </c>
      <c r="F7" s="5" t="str">
        <f>IF(AND('Project Plan'!$D7&lt;EDATE(F$4,1),'Project Plan'!$E7&gt;=F$4),"■","")</f>
        <v/>
      </c>
      <c r="G7" s="5" t="str">
        <f>IF(AND('Project Plan'!$D7&lt;EDATE(G$4,1),'Project Plan'!$E7&gt;=G$4),"■","")</f>
        <v/>
      </c>
      <c r="H7" s="5" t="str">
        <f>IF(AND('Project Plan'!$D7&lt;EDATE(H$4,1),'Project Plan'!$E7&gt;=H$4),"■","")</f>
        <v/>
      </c>
      <c r="I7" s="5" t="str">
        <f>IF(AND('Project Plan'!$D7&lt;EDATE(I$4,1),'Project Plan'!$E7&gt;=I$4),"■","")</f>
        <v/>
      </c>
      <c r="J7" s="5" t="str">
        <f>IF(AND('Project Plan'!$D7&lt;EDATE(J$4,1),'Project Plan'!$E7&gt;=J$4),"■","")</f>
        <v/>
      </c>
      <c r="K7" s="5" t="str">
        <f>IF(AND('Project Plan'!$D7&lt;EDATE(K$4,1),'Project Plan'!$E7&gt;=K$4),"■","")</f>
        <v/>
      </c>
      <c r="L7" s="5" t="str">
        <f>IF(AND('Project Plan'!$D7&lt;EDATE(L$4,1),'Project Plan'!$E7&gt;=L$4),"■","")</f>
        <v/>
      </c>
    </row>
    <row r="8" spans="1:12" ht="29.1" customHeight="1">
      <c r="A8" s="2" t="s">
        <v>24</v>
      </c>
      <c r="B8" s="2" t="s">
        <v>25</v>
      </c>
      <c r="C8" s="2" t="s">
        <v>26</v>
      </c>
      <c r="D8" s="5" t="str">
        <f>IF(AND('Project Plan'!$D8&lt;EDATE(D$4,1),'Project Plan'!$E8&gt;=D$4),"■","")</f>
        <v>■</v>
      </c>
      <c r="E8" s="5" t="str">
        <f>IF(AND('Project Plan'!$D8&lt;EDATE(E$4,1),'Project Plan'!$E8&gt;=E$4),"■","")</f>
        <v/>
      </c>
      <c r="F8" s="5" t="str">
        <f>IF(AND('Project Plan'!$D8&lt;EDATE(F$4,1),'Project Plan'!$E8&gt;=F$4),"■","")</f>
        <v/>
      </c>
      <c r="G8" s="5" t="str">
        <f>IF(AND('Project Plan'!$D8&lt;EDATE(G$4,1),'Project Plan'!$E8&gt;=G$4),"■","")</f>
        <v/>
      </c>
      <c r="H8" s="5" t="str">
        <f>IF(AND('Project Plan'!$D8&lt;EDATE(H$4,1),'Project Plan'!$E8&gt;=H$4),"■","")</f>
        <v/>
      </c>
      <c r="I8" s="5" t="str">
        <f>IF(AND('Project Plan'!$D8&lt;EDATE(I$4,1),'Project Plan'!$E8&gt;=I$4),"■","")</f>
        <v/>
      </c>
      <c r="J8" s="5" t="str">
        <f>IF(AND('Project Plan'!$D8&lt;EDATE(J$4,1),'Project Plan'!$E8&gt;=J$4),"■","")</f>
        <v/>
      </c>
      <c r="K8" s="5" t="str">
        <f>IF(AND('Project Plan'!$D8&lt;EDATE(K$4,1),'Project Plan'!$E8&gt;=K$4),"■","")</f>
        <v/>
      </c>
      <c r="L8" s="5" t="str">
        <f>IF(AND('Project Plan'!$D8&lt;EDATE(L$4,1),'Project Plan'!$E8&gt;=L$4),"■","")</f>
        <v/>
      </c>
    </row>
    <row r="9" spans="1:12" ht="29.1" customHeight="1">
      <c r="A9" s="2" t="s">
        <v>30</v>
      </c>
      <c r="B9" s="2" t="s">
        <v>31</v>
      </c>
      <c r="C9" s="2" t="s">
        <v>32</v>
      </c>
      <c r="D9" s="5" t="str">
        <f>IF(AND('Project Plan'!$D9&lt;EDATE(D$4,1),'Project Plan'!$E9&gt;=D$4),"■","")</f>
        <v>■</v>
      </c>
      <c r="E9" s="5" t="str">
        <f>IF(AND('Project Plan'!$D9&lt;EDATE(E$4,1),'Project Plan'!$E9&gt;=E$4),"■","")</f>
        <v>■</v>
      </c>
      <c r="F9" s="5" t="str">
        <f>IF(AND('Project Plan'!$D9&lt;EDATE(F$4,1),'Project Plan'!$E9&gt;=F$4),"■","")</f>
        <v/>
      </c>
      <c r="G9" s="5" t="str">
        <f>IF(AND('Project Plan'!$D9&lt;EDATE(G$4,1),'Project Plan'!$E9&gt;=G$4),"■","")</f>
        <v/>
      </c>
      <c r="H9" s="5" t="str">
        <f>IF(AND('Project Plan'!$D9&lt;EDATE(H$4,1),'Project Plan'!$E9&gt;=H$4),"■","")</f>
        <v/>
      </c>
      <c r="I9" s="5" t="str">
        <f>IF(AND('Project Plan'!$D9&lt;EDATE(I$4,1),'Project Plan'!$E9&gt;=I$4),"■","")</f>
        <v/>
      </c>
      <c r="J9" s="5" t="str">
        <f>IF(AND('Project Plan'!$D9&lt;EDATE(J$4,1),'Project Plan'!$E9&gt;=J$4),"■","")</f>
        <v/>
      </c>
      <c r="K9" s="5" t="str">
        <f>IF(AND('Project Plan'!$D9&lt;EDATE(K$4,1),'Project Plan'!$E9&gt;=K$4),"■","")</f>
        <v/>
      </c>
      <c r="L9" s="5" t="str">
        <f>IF(AND('Project Plan'!$D9&lt;EDATE(L$4,1),'Project Plan'!$E9&gt;=L$4),"■","")</f>
        <v/>
      </c>
    </row>
    <row r="10" spans="1:12" ht="29.1" customHeight="1">
      <c r="A10" s="2" t="s">
        <v>34</v>
      </c>
      <c r="B10" s="2" t="s">
        <v>35</v>
      </c>
      <c r="C10" s="2" t="s">
        <v>36</v>
      </c>
      <c r="D10" s="5" t="str">
        <f>IF(AND('Project Plan'!$D10&lt;EDATE(D$4,1),'Project Plan'!$E10&gt;=D$4),"■","")</f>
        <v/>
      </c>
      <c r="E10" s="5" t="str">
        <f>IF(AND('Project Plan'!$D10&lt;EDATE(E$4,1),'Project Plan'!$E10&gt;=E$4),"■","")</f>
        <v>■</v>
      </c>
      <c r="F10" s="5" t="str">
        <f>IF(AND('Project Plan'!$D10&lt;EDATE(F$4,1),'Project Plan'!$E10&gt;=F$4),"■","")</f>
        <v/>
      </c>
      <c r="G10" s="5" t="str">
        <f>IF(AND('Project Plan'!$D10&lt;EDATE(G$4,1),'Project Plan'!$E10&gt;=G$4),"■","")</f>
        <v/>
      </c>
      <c r="H10" s="5" t="str">
        <f>IF(AND('Project Plan'!$D10&lt;EDATE(H$4,1),'Project Plan'!$E10&gt;=H$4),"■","")</f>
        <v/>
      </c>
      <c r="I10" s="5" t="str">
        <f>IF(AND('Project Plan'!$D10&lt;EDATE(I$4,1),'Project Plan'!$E10&gt;=I$4),"■","")</f>
        <v/>
      </c>
      <c r="J10" s="5" t="str">
        <f>IF(AND('Project Plan'!$D10&lt;EDATE(J$4,1),'Project Plan'!$E10&gt;=J$4),"■","")</f>
        <v/>
      </c>
      <c r="K10" s="5" t="str">
        <f>IF(AND('Project Plan'!$D10&lt;EDATE(K$4,1),'Project Plan'!$E10&gt;=K$4),"■","")</f>
        <v/>
      </c>
      <c r="L10" s="5" t="str">
        <f>IF(AND('Project Plan'!$D10&lt;EDATE(L$4,1),'Project Plan'!$E10&gt;=L$4),"■","")</f>
        <v/>
      </c>
    </row>
    <row r="11" spans="1:12" ht="29.1" customHeight="1">
      <c r="A11" s="2" t="s">
        <v>38</v>
      </c>
      <c r="B11" s="2" t="s">
        <v>39</v>
      </c>
      <c r="C11" s="2" t="s">
        <v>40</v>
      </c>
      <c r="D11" s="5" t="str">
        <f>IF(AND('Project Plan'!$D11&lt;EDATE(D$4,1),'Project Plan'!$E11&gt;=D$4),"■","")</f>
        <v/>
      </c>
      <c r="E11" s="5" t="str">
        <f>IF(AND('Project Plan'!$D11&lt;EDATE(E$4,1),'Project Plan'!$E11&gt;=E$4),"■","")</f>
        <v>■</v>
      </c>
      <c r="F11" s="5" t="str">
        <f>IF(AND('Project Plan'!$D11&lt;EDATE(F$4,1),'Project Plan'!$E11&gt;=F$4),"■","")</f>
        <v>■</v>
      </c>
      <c r="G11" s="5" t="str">
        <f>IF(AND('Project Plan'!$D11&lt;EDATE(G$4,1),'Project Plan'!$E11&gt;=G$4),"■","")</f>
        <v/>
      </c>
      <c r="H11" s="5" t="str">
        <f>IF(AND('Project Plan'!$D11&lt;EDATE(H$4,1),'Project Plan'!$E11&gt;=H$4),"■","")</f>
        <v/>
      </c>
      <c r="I11" s="5" t="str">
        <f>IF(AND('Project Plan'!$D11&lt;EDATE(I$4,1),'Project Plan'!$E11&gt;=I$4),"■","")</f>
        <v/>
      </c>
      <c r="J11" s="5" t="str">
        <f>IF(AND('Project Plan'!$D11&lt;EDATE(J$4,1),'Project Plan'!$E11&gt;=J$4),"■","")</f>
        <v/>
      </c>
      <c r="K11" s="5" t="str">
        <f>IF(AND('Project Plan'!$D11&lt;EDATE(K$4,1),'Project Plan'!$E11&gt;=K$4),"■","")</f>
        <v/>
      </c>
      <c r="L11" s="5" t="str">
        <f>IF(AND('Project Plan'!$D11&lt;EDATE(L$4,1),'Project Plan'!$E11&gt;=L$4),"■","")</f>
        <v/>
      </c>
    </row>
    <row r="12" spans="1:12" ht="29.1" customHeight="1">
      <c r="A12" s="2" t="s">
        <v>43</v>
      </c>
      <c r="B12" s="2" t="s">
        <v>44</v>
      </c>
      <c r="C12" s="2" t="s">
        <v>26</v>
      </c>
      <c r="D12" s="5" t="str">
        <f>IF(AND('Project Plan'!$D12&lt;EDATE(D$4,1),'Project Plan'!$E12&gt;=D$4),"■","")</f>
        <v/>
      </c>
      <c r="E12" s="5" t="str">
        <f>IF(AND('Project Plan'!$D12&lt;EDATE(E$4,1),'Project Plan'!$E12&gt;=E$4),"■","")</f>
        <v/>
      </c>
      <c r="F12" s="5" t="str">
        <f>IF(AND('Project Plan'!$D12&lt;EDATE(F$4,1),'Project Plan'!$E12&gt;=F$4),"■","")</f>
        <v>■</v>
      </c>
      <c r="G12" s="5" t="str">
        <f>IF(AND('Project Plan'!$D12&lt;EDATE(G$4,1),'Project Plan'!$E12&gt;=G$4),"■","")</f>
        <v/>
      </c>
      <c r="H12" s="5" t="str">
        <f>IF(AND('Project Plan'!$D12&lt;EDATE(H$4,1),'Project Plan'!$E12&gt;=H$4),"■","")</f>
        <v/>
      </c>
      <c r="I12" s="5" t="str">
        <f>IF(AND('Project Plan'!$D12&lt;EDATE(I$4,1),'Project Plan'!$E12&gt;=I$4),"■","")</f>
        <v/>
      </c>
      <c r="J12" s="5" t="str">
        <f>IF(AND('Project Plan'!$D12&lt;EDATE(J$4,1),'Project Plan'!$E12&gt;=J$4),"■","")</f>
        <v/>
      </c>
      <c r="K12" s="5" t="str">
        <f>IF(AND('Project Plan'!$D12&lt;EDATE(K$4,1),'Project Plan'!$E12&gt;=K$4),"■","")</f>
        <v/>
      </c>
      <c r="L12" s="5" t="str">
        <f>IF(AND('Project Plan'!$D12&lt;EDATE(L$4,1),'Project Plan'!$E12&gt;=L$4),"■","")</f>
        <v/>
      </c>
    </row>
    <row r="13" spans="1:12" ht="29.1" customHeight="1">
      <c r="A13" s="2" t="s">
        <v>46</v>
      </c>
      <c r="B13" s="2" t="s">
        <v>47</v>
      </c>
      <c r="C13" s="2" t="s">
        <v>26</v>
      </c>
      <c r="D13" s="5" t="str">
        <f>IF(AND('Project Plan'!$D13&lt;EDATE(D$4,1),'Project Plan'!$E13&gt;=D$4),"■","")</f>
        <v/>
      </c>
      <c r="E13" s="5" t="str">
        <f>IF(AND('Project Plan'!$D13&lt;EDATE(E$4,1),'Project Plan'!$E13&gt;=E$4),"■","")</f>
        <v/>
      </c>
      <c r="F13" s="5" t="str">
        <f>IF(AND('Project Plan'!$D13&lt;EDATE(F$4,1),'Project Plan'!$E13&gt;=F$4),"■","")</f>
        <v>■</v>
      </c>
      <c r="G13" s="5" t="str">
        <f>IF(AND('Project Plan'!$D13&lt;EDATE(G$4,1),'Project Plan'!$E13&gt;=G$4),"■","")</f>
        <v/>
      </c>
      <c r="H13" s="5" t="str">
        <f>IF(AND('Project Plan'!$D13&lt;EDATE(H$4,1),'Project Plan'!$E13&gt;=H$4),"■","")</f>
        <v/>
      </c>
      <c r="I13" s="5" t="str">
        <f>IF(AND('Project Plan'!$D13&lt;EDATE(I$4,1),'Project Plan'!$E13&gt;=I$4),"■","")</f>
        <v/>
      </c>
      <c r="J13" s="5" t="str">
        <f>IF(AND('Project Plan'!$D13&lt;EDATE(J$4,1),'Project Plan'!$E13&gt;=J$4),"■","")</f>
        <v/>
      </c>
      <c r="K13" s="5" t="str">
        <f>IF(AND('Project Plan'!$D13&lt;EDATE(K$4,1),'Project Plan'!$E13&gt;=K$4),"■","")</f>
        <v/>
      </c>
      <c r="L13" s="5" t="str">
        <f>IF(AND('Project Plan'!$D13&lt;EDATE(L$4,1),'Project Plan'!$E13&gt;=L$4),"■","")</f>
        <v/>
      </c>
    </row>
    <row r="14" spans="1:12" ht="29.1" customHeight="1">
      <c r="A14" s="2" t="s">
        <v>49</v>
      </c>
      <c r="B14" s="2" t="s">
        <v>50</v>
      </c>
      <c r="C14" s="2" t="s">
        <v>51</v>
      </c>
      <c r="D14" s="5" t="str">
        <f>IF(AND('Project Plan'!$D14&lt;EDATE(D$4,1),'Project Plan'!$E14&gt;=D$4),"■","")</f>
        <v/>
      </c>
      <c r="E14" s="5" t="str">
        <f>IF(AND('Project Plan'!$D14&lt;EDATE(E$4,1),'Project Plan'!$E14&gt;=E$4),"■","")</f>
        <v/>
      </c>
      <c r="F14" s="5" t="str">
        <f>IF(AND('Project Plan'!$D14&lt;EDATE(F$4,1),'Project Plan'!$E14&gt;=F$4),"■","")</f>
        <v>■</v>
      </c>
      <c r="G14" s="5" t="str">
        <f>IF(AND('Project Plan'!$D14&lt;EDATE(G$4,1),'Project Plan'!$E14&gt;=G$4),"■","")</f>
        <v>■</v>
      </c>
      <c r="H14" s="5" t="str">
        <f>IF(AND('Project Plan'!$D14&lt;EDATE(H$4,1),'Project Plan'!$E14&gt;=H$4),"■","")</f>
        <v>■</v>
      </c>
      <c r="I14" s="5" t="str">
        <f>IF(AND('Project Plan'!$D14&lt;EDATE(I$4,1),'Project Plan'!$E14&gt;=I$4),"■","")</f>
        <v/>
      </c>
      <c r="J14" s="5" t="str">
        <f>IF(AND('Project Plan'!$D14&lt;EDATE(J$4,1),'Project Plan'!$E14&gt;=J$4),"■","")</f>
        <v/>
      </c>
      <c r="K14" s="5" t="str">
        <f>IF(AND('Project Plan'!$D14&lt;EDATE(K$4,1),'Project Plan'!$E14&gt;=K$4),"■","")</f>
        <v/>
      </c>
      <c r="L14" s="5" t="str">
        <f>IF(AND('Project Plan'!$D14&lt;EDATE(L$4,1),'Project Plan'!$E14&gt;=L$4),"■","")</f>
        <v/>
      </c>
    </row>
    <row r="15" spans="1:12" ht="29.1" customHeight="1">
      <c r="A15" s="2" t="s">
        <v>54</v>
      </c>
      <c r="B15" s="2" t="s">
        <v>55</v>
      </c>
      <c r="C15" s="2" t="s">
        <v>36</v>
      </c>
      <c r="D15" s="5" t="str">
        <f>IF(AND('Project Plan'!$D15&lt;EDATE(D$4,1),'Project Plan'!$E15&gt;=D$4),"■","")</f>
        <v/>
      </c>
      <c r="E15" s="5" t="str">
        <f>IF(AND('Project Plan'!$D15&lt;EDATE(E$4,1),'Project Plan'!$E15&gt;=E$4),"■","")</f>
        <v/>
      </c>
      <c r="F15" s="5" t="str">
        <f>IF(AND('Project Plan'!$D15&lt;EDATE(F$4,1),'Project Plan'!$E15&gt;=F$4),"■","")</f>
        <v/>
      </c>
      <c r="G15" s="5" t="str">
        <f>IF(AND('Project Plan'!$D15&lt;EDATE(G$4,1),'Project Plan'!$E15&gt;=G$4),"■","")</f>
        <v>■</v>
      </c>
      <c r="H15" s="5" t="str">
        <f>IF(AND('Project Plan'!$D15&lt;EDATE(H$4,1),'Project Plan'!$E15&gt;=H$4),"■","")</f>
        <v>■</v>
      </c>
      <c r="I15" s="5" t="str">
        <f>IF(AND('Project Plan'!$D15&lt;EDATE(I$4,1),'Project Plan'!$E15&gt;=I$4),"■","")</f>
        <v/>
      </c>
      <c r="J15" s="5" t="str">
        <f>IF(AND('Project Plan'!$D15&lt;EDATE(J$4,1),'Project Plan'!$E15&gt;=J$4),"■","")</f>
        <v/>
      </c>
      <c r="K15" s="5" t="str">
        <f>IF(AND('Project Plan'!$D15&lt;EDATE(K$4,1),'Project Plan'!$E15&gt;=K$4),"■","")</f>
        <v/>
      </c>
      <c r="L15" s="5" t="str">
        <f>IF(AND('Project Plan'!$D15&lt;EDATE(L$4,1),'Project Plan'!$E15&gt;=L$4),"■","")</f>
        <v/>
      </c>
    </row>
    <row r="16" spans="1:12" ht="29.1" customHeight="1">
      <c r="A16" s="2" t="s">
        <v>57</v>
      </c>
      <c r="B16" s="2" t="s">
        <v>58</v>
      </c>
      <c r="C16" s="2" t="s">
        <v>26</v>
      </c>
      <c r="D16" s="5" t="str">
        <f>IF(AND('Project Plan'!$D16&lt;EDATE(D$4,1),'Project Plan'!$E16&gt;=D$4),"■","")</f>
        <v/>
      </c>
      <c r="E16" s="5" t="str">
        <f>IF(AND('Project Plan'!$D16&lt;EDATE(E$4,1),'Project Plan'!$E16&gt;=E$4),"■","")</f>
        <v/>
      </c>
      <c r="F16" s="5" t="str">
        <f>IF(AND('Project Plan'!$D16&lt;EDATE(F$4,1),'Project Plan'!$E16&gt;=F$4),"■","")</f>
        <v/>
      </c>
      <c r="G16" s="5" t="str">
        <f>IF(AND('Project Plan'!$D16&lt;EDATE(G$4,1),'Project Plan'!$E16&gt;=G$4),"■","")</f>
        <v/>
      </c>
      <c r="H16" s="5" t="str">
        <f>IF(AND('Project Plan'!$D16&lt;EDATE(H$4,1),'Project Plan'!$E16&gt;=H$4),"■","")</f>
        <v>■</v>
      </c>
      <c r="I16" s="5" t="str">
        <f>IF(AND('Project Plan'!$D16&lt;EDATE(I$4,1),'Project Plan'!$E16&gt;=I$4),"■","")</f>
        <v>■</v>
      </c>
      <c r="J16" s="5" t="str">
        <f>IF(AND('Project Plan'!$D16&lt;EDATE(J$4,1),'Project Plan'!$E16&gt;=J$4),"■","")</f>
        <v/>
      </c>
      <c r="K16" s="5" t="str">
        <f>IF(AND('Project Plan'!$D16&lt;EDATE(K$4,1),'Project Plan'!$E16&gt;=K$4),"■","")</f>
        <v/>
      </c>
      <c r="L16" s="5" t="str">
        <f>IF(AND('Project Plan'!$D16&lt;EDATE(L$4,1),'Project Plan'!$E16&gt;=L$4),"■","")</f>
        <v/>
      </c>
    </row>
    <row r="17" spans="1:12" ht="29.1" customHeight="1">
      <c r="A17" s="2" t="s">
        <v>61</v>
      </c>
      <c r="B17" s="2" t="s">
        <v>62</v>
      </c>
      <c r="C17" s="2" t="s">
        <v>63</v>
      </c>
      <c r="D17" s="5" t="str">
        <f>IF(AND('Project Plan'!$D17&lt;EDATE(D$4,1),'Project Plan'!$E17&gt;=D$4),"■","")</f>
        <v/>
      </c>
      <c r="E17" s="5" t="str">
        <f>IF(AND('Project Plan'!$D17&lt;EDATE(E$4,1),'Project Plan'!$E17&gt;=E$4),"■","")</f>
        <v/>
      </c>
      <c r="F17" s="5" t="str">
        <f>IF(AND('Project Plan'!$D17&lt;EDATE(F$4,1),'Project Plan'!$E17&gt;=F$4),"■","")</f>
        <v/>
      </c>
      <c r="G17" s="5" t="str">
        <f>IF(AND('Project Plan'!$D17&lt;EDATE(G$4,1),'Project Plan'!$E17&gt;=G$4),"■","")</f>
        <v>■</v>
      </c>
      <c r="H17" s="5" t="str">
        <f>IF(AND('Project Plan'!$D17&lt;EDATE(H$4,1),'Project Plan'!$E17&gt;=H$4),"■","")</f>
        <v>■</v>
      </c>
      <c r="I17" s="5" t="str">
        <f>IF(AND('Project Plan'!$D17&lt;EDATE(I$4,1),'Project Plan'!$E17&gt;=I$4),"■","")</f>
        <v>■</v>
      </c>
      <c r="J17" s="5" t="str">
        <f>IF(AND('Project Plan'!$D17&lt;EDATE(J$4,1),'Project Plan'!$E17&gt;=J$4),"■","")</f>
        <v/>
      </c>
      <c r="K17" s="5" t="str">
        <f>IF(AND('Project Plan'!$D17&lt;EDATE(K$4,1),'Project Plan'!$E17&gt;=K$4),"■","")</f>
        <v/>
      </c>
      <c r="L17" s="5" t="str">
        <f>IF(AND('Project Plan'!$D17&lt;EDATE(L$4,1),'Project Plan'!$E17&gt;=L$4),"■","")</f>
        <v/>
      </c>
    </row>
    <row r="18" spans="1:12" ht="29.1" customHeight="1">
      <c r="A18" s="2" t="s">
        <v>65</v>
      </c>
      <c r="B18" s="2" t="s">
        <v>66</v>
      </c>
      <c r="C18" s="2" t="s">
        <v>67</v>
      </c>
      <c r="D18" s="5" t="str">
        <f>IF(AND('Project Plan'!$D18&lt;EDATE(D$4,1),'Project Plan'!$E18&gt;=D$4),"■","")</f>
        <v/>
      </c>
      <c r="E18" s="5" t="str">
        <f>IF(AND('Project Plan'!$D18&lt;EDATE(E$4,1),'Project Plan'!$E18&gt;=E$4),"■","")</f>
        <v/>
      </c>
      <c r="F18" s="5" t="str">
        <f>IF(AND('Project Plan'!$D18&lt;EDATE(F$4,1),'Project Plan'!$E18&gt;=F$4),"■","")</f>
        <v/>
      </c>
      <c r="G18" s="5" t="str">
        <f>IF(AND('Project Plan'!$D18&lt;EDATE(G$4,1),'Project Plan'!$E18&gt;=G$4),"■","")</f>
        <v>■</v>
      </c>
      <c r="H18" s="5" t="str">
        <f>IF(AND('Project Plan'!$D18&lt;EDATE(H$4,1),'Project Plan'!$E18&gt;=H$4),"■","")</f>
        <v>■</v>
      </c>
      <c r="I18" s="5" t="str">
        <f>IF(AND('Project Plan'!$D18&lt;EDATE(I$4,1),'Project Plan'!$E18&gt;=I$4),"■","")</f>
        <v>■</v>
      </c>
      <c r="J18" s="5" t="str">
        <f>IF(AND('Project Plan'!$D18&lt;EDATE(J$4,1),'Project Plan'!$E18&gt;=J$4),"■","")</f>
        <v>■</v>
      </c>
      <c r="K18" s="5" t="str">
        <f>IF(AND('Project Plan'!$D18&lt;EDATE(K$4,1),'Project Plan'!$E18&gt;=K$4),"■","")</f>
        <v/>
      </c>
      <c r="L18" s="5" t="str">
        <f>IF(AND('Project Plan'!$D18&lt;EDATE(L$4,1),'Project Plan'!$E18&gt;=L$4),"■","")</f>
        <v/>
      </c>
    </row>
    <row r="19" spans="1:12" ht="29.1" customHeight="1">
      <c r="A19" s="2" t="s">
        <v>69</v>
      </c>
      <c r="B19" s="2" t="s">
        <v>70</v>
      </c>
      <c r="C19" s="2" t="s">
        <v>71</v>
      </c>
      <c r="D19" s="5" t="str">
        <f>IF(AND('Project Plan'!$D19&lt;EDATE(D$4,1),'Project Plan'!$E19&gt;=D$4),"■","")</f>
        <v/>
      </c>
      <c r="E19" s="5" t="str">
        <f>IF(AND('Project Plan'!$D19&lt;EDATE(E$4,1),'Project Plan'!$E19&gt;=E$4),"■","")</f>
        <v/>
      </c>
      <c r="F19" s="5" t="str">
        <f>IF(AND('Project Plan'!$D19&lt;EDATE(F$4,1),'Project Plan'!$E19&gt;=F$4),"■","")</f>
        <v/>
      </c>
      <c r="G19" s="5" t="str">
        <f>IF(AND('Project Plan'!$D19&lt;EDATE(G$4,1),'Project Plan'!$E19&gt;=G$4),"■","")</f>
        <v/>
      </c>
      <c r="H19" s="5" t="str">
        <f>IF(AND('Project Plan'!$D19&lt;EDATE(H$4,1),'Project Plan'!$E19&gt;=H$4),"■","")</f>
        <v/>
      </c>
      <c r="I19" s="5" t="str">
        <f>IF(AND('Project Plan'!$D19&lt;EDATE(I$4,1),'Project Plan'!$E19&gt;=I$4),"■","")</f>
        <v>■</v>
      </c>
      <c r="J19" s="5" t="str">
        <f>IF(AND('Project Plan'!$D19&lt;EDATE(J$4,1),'Project Plan'!$E19&gt;=J$4),"■","")</f>
        <v/>
      </c>
      <c r="K19" s="5" t="str">
        <f>IF(AND('Project Plan'!$D19&lt;EDATE(K$4,1),'Project Plan'!$E19&gt;=K$4),"■","")</f>
        <v/>
      </c>
      <c r="L19" s="5" t="str">
        <f>IF(AND('Project Plan'!$D19&lt;EDATE(L$4,1),'Project Plan'!$E19&gt;=L$4),"■","")</f>
        <v/>
      </c>
    </row>
    <row r="20" spans="1:12" ht="29.1" customHeight="1">
      <c r="A20" s="2" t="s">
        <v>73</v>
      </c>
      <c r="B20" s="2" t="s">
        <v>74</v>
      </c>
      <c r="C20" s="2" t="s">
        <v>17</v>
      </c>
      <c r="D20" s="5" t="str">
        <f>IF(AND('Project Plan'!$D20&lt;EDATE(D$4,1),'Project Plan'!$E20&gt;=D$4),"■","")</f>
        <v/>
      </c>
      <c r="E20" s="5" t="str">
        <f>IF(AND('Project Plan'!$D20&lt;EDATE(E$4,1),'Project Plan'!$E20&gt;=E$4),"■","")</f>
        <v/>
      </c>
      <c r="F20" s="5" t="str">
        <f>IF(AND('Project Plan'!$D20&lt;EDATE(F$4,1),'Project Plan'!$E20&gt;=F$4),"■","")</f>
        <v/>
      </c>
      <c r="G20" s="5" t="str">
        <f>IF(AND('Project Plan'!$D20&lt;EDATE(G$4,1),'Project Plan'!$E20&gt;=G$4),"■","")</f>
        <v/>
      </c>
      <c r="H20" s="5" t="str">
        <f>IF(AND('Project Plan'!$D20&lt;EDATE(H$4,1),'Project Plan'!$E20&gt;=H$4),"■","")</f>
        <v/>
      </c>
      <c r="I20" s="5" t="str">
        <f>IF(AND('Project Plan'!$D20&lt;EDATE(I$4,1),'Project Plan'!$E20&gt;=I$4),"■","")</f>
        <v>■</v>
      </c>
      <c r="J20" s="5" t="str">
        <f>IF(AND('Project Plan'!$D20&lt;EDATE(J$4,1),'Project Plan'!$E20&gt;=J$4),"■","")</f>
        <v>■</v>
      </c>
      <c r="K20" s="5" t="str">
        <f>IF(AND('Project Plan'!$D20&lt;EDATE(K$4,1),'Project Plan'!$E20&gt;=K$4),"■","")</f>
        <v/>
      </c>
      <c r="L20" s="5" t="str">
        <f>IF(AND('Project Plan'!$D20&lt;EDATE(L$4,1),'Project Plan'!$E20&gt;=L$4),"■","")</f>
        <v/>
      </c>
    </row>
    <row r="21" spans="1:12" ht="29.1" customHeight="1">
      <c r="A21" s="2" t="s">
        <v>76</v>
      </c>
      <c r="B21" s="2" t="s">
        <v>77</v>
      </c>
      <c r="C21" s="2" t="s">
        <v>26</v>
      </c>
      <c r="D21" s="5" t="str">
        <f>IF(AND('Project Plan'!$D21&lt;EDATE(D$4,1),'Project Plan'!$E21&gt;=D$4),"■","")</f>
        <v/>
      </c>
      <c r="E21" s="5" t="str">
        <f>IF(AND('Project Plan'!$D21&lt;EDATE(E$4,1),'Project Plan'!$E21&gt;=E$4),"■","")</f>
        <v/>
      </c>
      <c r="F21" s="5" t="str">
        <f>IF(AND('Project Plan'!$D21&lt;EDATE(F$4,1),'Project Plan'!$E21&gt;=F$4),"■","")</f>
        <v/>
      </c>
      <c r="G21" s="5" t="str">
        <f>IF(AND('Project Plan'!$D21&lt;EDATE(G$4,1),'Project Plan'!$E21&gt;=G$4),"■","")</f>
        <v/>
      </c>
      <c r="H21" s="5" t="str">
        <f>IF(AND('Project Plan'!$D21&lt;EDATE(H$4,1),'Project Plan'!$E21&gt;=H$4),"■","")</f>
        <v/>
      </c>
      <c r="I21" s="5" t="str">
        <f>IF(AND('Project Plan'!$D21&lt;EDATE(I$4,1),'Project Plan'!$E21&gt;=I$4),"■","")</f>
        <v>■</v>
      </c>
      <c r="J21" s="5" t="str">
        <f>IF(AND('Project Plan'!$D21&lt;EDATE(J$4,1),'Project Plan'!$E21&gt;=J$4),"■","")</f>
        <v/>
      </c>
      <c r="K21" s="5" t="str">
        <f>IF(AND('Project Plan'!$D21&lt;EDATE(K$4,1),'Project Plan'!$E21&gt;=K$4),"■","")</f>
        <v/>
      </c>
      <c r="L21" s="5" t="str">
        <f>IF(AND('Project Plan'!$D21&lt;EDATE(L$4,1),'Project Plan'!$E21&gt;=L$4),"■","")</f>
        <v/>
      </c>
    </row>
    <row r="22" spans="1:12" ht="29.1" customHeight="1">
      <c r="A22" s="2" t="s">
        <v>80</v>
      </c>
      <c r="B22" s="2" t="s">
        <v>81</v>
      </c>
      <c r="C22" s="2" t="s">
        <v>26</v>
      </c>
      <c r="D22" s="5" t="str">
        <f>IF(AND('Project Plan'!$D22&lt;EDATE(D$4,1),'Project Plan'!$E22&gt;=D$4),"■","")</f>
        <v/>
      </c>
      <c r="E22" s="5" t="str">
        <f>IF(AND('Project Plan'!$D22&lt;EDATE(E$4,1),'Project Plan'!$E22&gt;=E$4),"■","")</f>
        <v/>
      </c>
      <c r="F22" s="5" t="str">
        <f>IF(AND('Project Plan'!$D22&lt;EDATE(F$4,1),'Project Plan'!$E22&gt;=F$4),"■","")</f>
        <v/>
      </c>
      <c r="G22" s="5" t="str">
        <f>IF(AND('Project Plan'!$D22&lt;EDATE(G$4,1),'Project Plan'!$E22&gt;=G$4),"■","")</f>
        <v/>
      </c>
      <c r="H22" s="5" t="str">
        <f>IF(AND('Project Plan'!$D22&lt;EDATE(H$4,1),'Project Plan'!$E22&gt;=H$4),"■","")</f>
        <v/>
      </c>
      <c r="I22" s="5" t="str">
        <f>IF(AND('Project Plan'!$D22&lt;EDATE(I$4,1),'Project Plan'!$E22&gt;=I$4),"■","")</f>
        <v/>
      </c>
      <c r="J22" s="5" t="str">
        <f>IF(AND('Project Plan'!$D22&lt;EDATE(J$4,1),'Project Plan'!$E22&gt;=J$4),"■","")</f>
        <v>■</v>
      </c>
      <c r="K22" s="5" t="str">
        <f>IF(AND('Project Plan'!$D22&lt;EDATE(K$4,1),'Project Plan'!$E22&gt;=K$4),"■","")</f>
        <v>■</v>
      </c>
      <c r="L22" s="5" t="str">
        <f>IF(AND('Project Plan'!$D22&lt;EDATE(L$4,1),'Project Plan'!$E22&gt;=L$4),"■","")</f>
        <v/>
      </c>
    </row>
    <row r="23" spans="1:12" ht="29.1" customHeight="1">
      <c r="A23" s="2" t="s">
        <v>84</v>
      </c>
      <c r="B23" s="2" t="s">
        <v>85</v>
      </c>
      <c r="C23" s="2" t="s">
        <v>86</v>
      </c>
      <c r="D23" s="5" t="str">
        <f>IF(AND('Project Plan'!$D23&lt;EDATE(D$4,1),'Project Plan'!$E23&gt;=D$4),"■","")</f>
        <v/>
      </c>
      <c r="E23" s="5" t="str">
        <f>IF(AND('Project Plan'!$D23&lt;EDATE(E$4,1),'Project Plan'!$E23&gt;=E$4),"■","")</f>
        <v/>
      </c>
      <c r="F23" s="5" t="str">
        <f>IF(AND('Project Plan'!$D23&lt;EDATE(F$4,1),'Project Plan'!$E23&gt;=F$4),"■","")</f>
        <v/>
      </c>
      <c r="G23" s="5" t="str">
        <f>IF(AND('Project Plan'!$D23&lt;EDATE(G$4,1),'Project Plan'!$E23&gt;=G$4),"■","")</f>
        <v/>
      </c>
      <c r="H23" s="5" t="str">
        <f>IF(AND('Project Plan'!$D23&lt;EDATE(H$4,1),'Project Plan'!$E23&gt;=H$4),"■","")</f>
        <v/>
      </c>
      <c r="I23" s="5" t="str">
        <f>IF(AND('Project Plan'!$D23&lt;EDATE(I$4,1),'Project Plan'!$E23&gt;=I$4),"■","")</f>
        <v/>
      </c>
      <c r="J23" s="5" t="str">
        <f>IF(AND('Project Plan'!$D23&lt;EDATE(J$4,1),'Project Plan'!$E23&gt;=J$4),"■","")</f>
        <v/>
      </c>
      <c r="K23" s="5" t="str">
        <f>IF(AND('Project Plan'!$D23&lt;EDATE(K$4,1),'Project Plan'!$E23&gt;=K$4),"■","")</f>
        <v>■</v>
      </c>
      <c r="L23" s="5" t="str">
        <f>IF(AND('Project Plan'!$D23&lt;EDATE(L$4,1),'Project Plan'!$E23&gt;=L$4),"■","")</f>
        <v/>
      </c>
    </row>
    <row r="24" spans="1:12" ht="29.1" customHeight="1">
      <c r="A24" s="2" t="s">
        <v>88</v>
      </c>
      <c r="B24" s="2" t="s">
        <v>89</v>
      </c>
      <c r="C24" s="2" t="s">
        <v>26</v>
      </c>
      <c r="D24" s="5" t="str">
        <f>IF(AND('Project Plan'!$D24&lt;EDATE(D$4,1),'Project Plan'!$E24&gt;=D$4),"■","")</f>
        <v/>
      </c>
      <c r="E24" s="5" t="str">
        <f>IF(AND('Project Plan'!$D24&lt;EDATE(E$4,1),'Project Plan'!$E24&gt;=E$4),"■","")</f>
        <v/>
      </c>
      <c r="F24" s="5" t="str">
        <f>IF(AND('Project Plan'!$D24&lt;EDATE(F$4,1),'Project Plan'!$E24&gt;=F$4),"■","")</f>
        <v/>
      </c>
      <c r="G24" s="5" t="str">
        <f>IF(AND('Project Plan'!$D24&lt;EDATE(G$4,1),'Project Plan'!$E24&gt;=G$4),"■","")</f>
        <v/>
      </c>
      <c r="H24" s="5" t="str">
        <f>IF(AND('Project Plan'!$D24&lt;EDATE(H$4,1),'Project Plan'!$E24&gt;=H$4),"■","")</f>
        <v/>
      </c>
      <c r="I24" s="5" t="str">
        <f>IF(AND('Project Plan'!$D24&lt;EDATE(I$4,1),'Project Plan'!$E24&gt;=I$4),"■","")</f>
        <v/>
      </c>
      <c r="J24" s="5" t="str">
        <f>IF(AND('Project Plan'!$D24&lt;EDATE(J$4,1),'Project Plan'!$E24&gt;=J$4),"■","")</f>
        <v/>
      </c>
      <c r="K24" s="5" t="str">
        <f>IF(AND('Project Plan'!$D24&lt;EDATE(K$4,1),'Project Plan'!$E24&gt;=K$4),"■","")</f>
        <v>■</v>
      </c>
      <c r="L24" s="5" t="str">
        <f>IF(AND('Project Plan'!$D24&lt;EDATE(L$4,1),'Project Plan'!$E24&gt;=L$4),"■","")</f>
        <v/>
      </c>
    </row>
    <row r="25" spans="1:12" ht="29.1" customHeight="1">
      <c r="A25" s="2" t="s">
        <v>91</v>
      </c>
      <c r="B25" s="2" t="s">
        <v>92</v>
      </c>
      <c r="C25" s="2" t="s">
        <v>26</v>
      </c>
      <c r="D25" s="5" t="str">
        <f>IF(AND('Project Plan'!$D25&lt;EDATE(D$4,1),'Project Plan'!$E25&gt;=D$4),"■","")</f>
        <v/>
      </c>
      <c r="E25" s="5" t="str">
        <f>IF(AND('Project Plan'!$D25&lt;EDATE(E$4,1),'Project Plan'!$E25&gt;=E$4),"■","")</f>
        <v/>
      </c>
      <c r="F25" s="5" t="str">
        <f>IF(AND('Project Plan'!$D25&lt;EDATE(F$4,1),'Project Plan'!$E25&gt;=F$4),"■","")</f>
        <v/>
      </c>
      <c r="G25" s="5" t="str">
        <f>IF(AND('Project Plan'!$D25&lt;EDATE(G$4,1),'Project Plan'!$E25&gt;=G$4),"■","")</f>
        <v/>
      </c>
      <c r="H25" s="5" t="str">
        <f>IF(AND('Project Plan'!$D25&lt;EDATE(H$4,1),'Project Plan'!$E25&gt;=H$4),"■","")</f>
        <v/>
      </c>
      <c r="I25" s="5" t="str">
        <f>IF(AND('Project Plan'!$D25&lt;EDATE(I$4,1),'Project Plan'!$E25&gt;=I$4),"■","")</f>
        <v/>
      </c>
      <c r="J25" s="5" t="str">
        <f>IF(AND('Project Plan'!$D25&lt;EDATE(J$4,1),'Project Plan'!$E25&gt;=J$4),"■","")</f>
        <v/>
      </c>
      <c r="K25" s="5" t="str">
        <f>IF(AND('Project Plan'!$D25&lt;EDATE(K$4,1),'Project Plan'!$E25&gt;=K$4),"■","")</f>
        <v>■</v>
      </c>
      <c r="L25" s="5" t="str">
        <f>IF(AND('Project Plan'!$D25&lt;EDATE(L$4,1),'Project Plan'!$E25&gt;=L$4),"■","")</f>
        <v>■</v>
      </c>
    </row>
    <row r="26" spans="1:12" ht="29.1" customHeight="1">
      <c r="A26" s="2" t="s">
        <v>94</v>
      </c>
      <c r="B26" s="2" t="s">
        <v>95</v>
      </c>
      <c r="C26" s="2" t="s">
        <v>26</v>
      </c>
      <c r="D26" s="5" t="str">
        <f>IF(AND('Project Plan'!$D26&lt;EDATE(D$4,1),'Project Plan'!$E26&gt;=D$4),"■","")</f>
        <v/>
      </c>
      <c r="E26" s="5" t="str">
        <f>IF(AND('Project Plan'!$D26&lt;EDATE(E$4,1),'Project Plan'!$E26&gt;=E$4),"■","")</f>
        <v/>
      </c>
      <c r="F26" s="5" t="str">
        <f>IF(AND('Project Plan'!$D26&lt;EDATE(F$4,1),'Project Plan'!$E26&gt;=F$4),"■","")</f>
        <v/>
      </c>
      <c r="G26" s="5" t="str">
        <f>IF(AND('Project Plan'!$D26&lt;EDATE(G$4,1),'Project Plan'!$E26&gt;=G$4),"■","")</f>
        <v/>
      </c>
      <c r="H26" s="5" t="str">
        <f>IF(AND('Project Plan'!$D26&lt;EDATE(H$4,1),'Project Plan'!$E26&gt;=H$4),"■","")</f>
        <v/>
      </c>
      <c r="I26" s="5" t="str">
        <f>IF(AND('Project Plan'!$D26&lt;EDATE(I$4,1),'Project Plan'!$E26&gt;=I$4),"■","")</f>
        <v/>
      </c>
      <c r="J26" s="5" t="str">
        <f>IF(AND('Project Plan'!$D26&lt;EDATE(J$4,1),'Project Plan'!$E26&gt;=J$4),"■","")</f>
        <v/>
      </c>
      <c r="K26" s="5" t="str">
        <f>IF(AND('Project Plan'!$D26&lt;EDATE(K$4,1),'Project Plan'!$E26&gt;=K$4),"■","")</f>
        <v/>
      </c>
      <c r="L26" s="5" t="str">
        <f>IF(AND('Project Plan'!$D26&lt;EDATE(L$4,1),'Project Plan'!$E26&gt;=L$4),"■","")</f>
        <v>■</v>
      </c>
    </row>
  </sheetData>
  <mergeCells count="2">
    <mergeCell ref="A1:L1"/>
    <mergeCell ref="A2:L2"/>
  </mergeCells>
  <conditionalFormatting sqref="D5:L26">
    <cfRule type="expression" dxfId="0" priority="1">
      <formula>D5="■"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25"/>
  <cols>
    <col min="1" max="1" width="28" customWidth="1"/>
    <col min="2" max="2" width="20" customWidth="1"/>
    <col min="3" max="3" width="82" customWidth="1"/>
    <col min="4" max="4" width="23" customWidth="1"/>
  </cols>
  <sheetData>
    <row r="1" spans="1:4" ht="38.1" customHeight="1">
      <c r="A1" s="6" t="s">
        <v>99</v>
      </c>
      <c r="B1" s="6"/>
      <c r="C1" s="6"/>
      <c r="D1" s="6"/>
    </row>
    <row r="3" spans="1:4" ht="36" customHeight="1">
      <c r="A3" s="1" t="s">
        <v>100</v>
      </c>
      <c r="B3" s="1" t="s">
        <v>101</v>
      </c>
      <c r="C3" s="1" t="s">
        <v>102</v>
      </c>
      <c r="D3" s="1" t="s">
        <v>9</v>
      </c>
    </row>
    <row r="4" spans="1:4" ht="33.950000000000003" customHeight="1">
      <c r="A4" s="2" t="s">
        <v>103</v>
      </c>
      <c r="B4" s="3">
        <v>46322</v>
      </c>
      <c r="C4" s="2" t="s">
        <v>104</v>
      </c>
      <c r="D4" s="2" t="s">
        <v>105</v>
      </c>
    </row>
    <row r="5" spans="1:4" ht="33.950000000000003" customHeight="1">
      <c r="A5" s="2" t="s">
        <v>106</v>
      </c>
      <c r="B5" s="3">
        <v>46371</v>
      </c>
      <c r="C5" s="2" t="s">
        <v>107</v>
      </c>
      <c r="D5" s="2" t="s">
        <v>105</v>
      </c>
    </row>
    <row r="6" spans="1:4" ht="33.950000000000003" customHeight="1">
      <c r="A6" s="2" t="s">
        <v>108</v>
      </c>
      <c r="B6" s="3">
        <v>46378</v>
      </c>
      <c r="C6" s="2" t="s">
        <v>109</v>
      </c>
      <c r="D6" s="2" t="s">
        <v>105</v>
      </c>
    </row>
    <row r="7" spans="1:4" ht="33.950000000000003" customHeight="1">
      <c r="A7" s="2" t="s">
        <v>110</v>
      </c>
      <c r="B7" s="3">
        <v>46385</v>
      </c>
      <c r="C7" s="2" t="s">
        <v>111</v>
      </c>
      <c r="D7" s="2" t="s">
        <v>105</v>
      </c>
    </row>
    <row r="8" spans="1:4" ht="33.950000000000003" customHeight="1">
      <c r="A8" s="2" t="s">
        <v>112</v>
      </c>
      <c r="B8" s="3">
        <v>46462</v>
      </c>
      <c r="C8" s="2" t="s">
        <v>113</v>
      </c>
      <c r="D8" s="2" t="s">
        <v>105</v>
      </c>
    </row>
    <row r="9" spans="1:4" ht="33.950000000000003" customHeight="1">
      <c r="A9" s="2" t="s">
        <v>114</v>
      </c>
      <c r="B9" s="3">
        <v>46530</v>
      </c>
      <c r="C9" s="2" t="s">
        <v>115</v>
      </c>
      <c r="D9" s="2" t="s">
        <v>105</v>
      </c>
    </row>
    <row r="10" spans="1:4" ht="33.950000000000003" customHeight="1">
      <c r="A10" s="2" t="s">
        <v>116</v>
      </c>
      <c r="B10" s="3">
        <v>46558</v>
      </c>
      <c r="C10" s="2" t="s">
        <v>117</v>
      </c>
      <c r="D10" s="2" t="s">
        <v>105</v>
      </c>
    </row>
    <row r="11" spans="1:4" ht="33.950000000000003" customHeight="1">
      <c r="A11" s="2" t="s">
        <v>118</v>
      </c>
      <c r="B11" s="3">
        <v>46565</v>
      </c>
      <c r="C11" s="2" t="s">
        <v>119</v>
      </c>
      <c r="D11" s="2" t="s">
        <v>105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/>
  </sheetViews>
  <sheetFormatPr defaultRowHeight="14.25"/>
  <cols>
    <col min="1" max="1" width="23" customWidth="1"/>
    <col min="2" max="2" width="105" customWidth="1"/>
  </cols>
  <sheetData>
    <row r="1" spans="1:2" ht="38.1" customHeight="1">
      <c r="A1" s="6" t="s">
        <v>120</v>
      </c>
      <c r="B1" s="6"/>
    </row>
    <row r="3" spans="1:2" ht="35.1" customHeight="1">
      <c r="A3" s="2" t="s">
        <v>121</v>
      </c>
      <c r="B3" s="2" t="s">
        <v>122</v>
      </c>
    </row>
    <row r="4" spans="1:2" ht="35.1" customHeight="1">
      <c r="A4" s="2" t="s">
        <v>123</v>
      </c>
      <c r="B4" s="2" t="s">
        <v>124</v>
      </c>
    </row>
    <row r="5" spans="1:2" ht="35.1" customHeight="1">
      <c r="A5" s="2" t="s">
        <v>125</v>
      </c>
      <c r="B5" s="2" t="s">
        <v>126</v>
      </c>
    </row>
    <row r="6" spans="1:2" ht="35.1" customHeight="1">
      <c r="A6" s="2" t="s">
        <v>127</v>
      </c>
      <c r="B6" s="2" t="s">
        <v>128</v>
      </c>
    </row>
    <row r="7" spans="1:2" ht="35.1" customHeight="1">
      <c r="A7" s="2" t="s">
        <v>129</v>
      </c>
      <c r="B7" s="2" t="s">
        <v>130</v>
      </c>
    </row>
    <row r="8" spans="1:2" ht="35.1" customHeight="1">
      <c r="A8" s="2" t="s">
        <v>131</v>
      </c>
      <c r="B8" s="2" t="s">
        <v>132</v>
      </c>
    </row>
    <row r="9" spans="1:2" ht="35.1" customHeight="1">
      <c r="A9" s="2" t="s">
        <v>133</v>
      </c>
      <c r="B9" s="2" t="s">
        <v>134</v>
      </c>
    </row>
    <row r="10" spans="1:2" ht="35.1" customHeight="1">
      <c r="A10" s="2" t="s">
        <v>135</v>
      </c>
      <c r="B10" s="2" t="s">
        <v>136</v>
      </c>
    </row>
    <row r="11" spans="1:2" ht="35.1" customHeight="1">
      <c r="A11" s="2" t="s">
        <v>137</v>
      </c>
      <c r="B11" s="2" t="s">
        <v>138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Plan</vt:lpstr>
      <vt:lpstr>Gantt Chart</vt:lpstr>
      <vt:lpstr>Milestones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Mostafa Ahmed Elzeiny</cp:lastModifiedBy>
  <dcterms:modified xsi:type="dcterms:W3CDTF">2026-10-26T18:05:41Z</dcterms:modified>
</cp:coreProperties>
</file>